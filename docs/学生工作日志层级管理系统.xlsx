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部门表" sheetId="2" r:id="rId4"/>
    <sheet name="人员表" sheetId="3" r:id="rId5"/>
    <sheet name="skill配置表" sheetId="4" r:id="rId6"/>
    <sheet name="工作日志表" sheetId="5" r:id="rId7"/>
    <sheet name="AI评价表" sheetId="6" r:id="rId8"/>
    <sheet name="人工评价表" sheetId="7" r:id="rId9"/>
    <sheet name="报告日志表" sheetId="8" r:id="rId10"/>
    <sheet name="提交详情表" sheetId="9" r:id="rId11"/>
    <sheet name="阶段工作进展表" sheetId="10" r:id="rId12"/>
    <sheet name="阶段工作确认表" sheetId="11" r:id="rId13"/>
    <sheet name="报告阶段工作表" sheetId="12" r:id="rId14"/>
    <sheet name="每月部门分析表" sheetId="13" r:id="rId15"/>
    <sheet name="部门分析确认表" sheetId="14" r:id="rId16"/>
    <sheet name="报告部门分析表" sheetId="15" r:id="rId17"/>
    <sheet name="每月团队分析表" sheetId="16" r:id="rId18"/>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yyyy/MM/dd HH:mm"/>
    <numFmt numFmtId="165" formatCode="yyyy/MM/dd"/>
  </numFmts>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true" applyAlignment="true">
      <alignment vertical="center"/>
    </xf>
    <xf numFmtId="164" fontId="0" fillId="0" borderId="0" xfId="0" applyNumberFormat="true" applyAlignment="false">
      <alignment/>
    </xf>
    <xf numFmtId="165" fontId="0" fillId="0" borderId="0" xfId="0" applyNumberFormat="true" applyAlignment="false">
      <alignment/>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 Id="rId16" Target="/xl/worksheets/sheet14.xml" Type="http://schemas.openxmlformats.org/officeDocument/2006/relationships/worksheet"></Relationship><Relationship Id="rId17" Target="/xl/worksheets/sheet15.xml" Type="http://schemas.openxmlformats.org/officeDocument/2006/relationships/worksheet"></Relationship><Relationship Id="rId18" Target="/xl/worksheets/sheet16.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部门编号</t>
        </is>
      </c>
      <c r="B1" s="1" t="inlineStr">
        <is>
          <t>部门名称</t>
        </is>
      </c>
      <c r="C1" s="1" t="inlineStr">
        <is>
          <t>部门部长</t>
        </is>
      </c>
      <c r="D1" s="1" t="inlineStr">
        <is>
          <t>部门骨干</t>
        </is>
      </c>
    </row>
    <row r="2" ht="25.5" customHeight="1">
      <c r="A2" t="inlineStr">
        <is>
          <t>001</t>
        </is>
      </c>
      <c r="B2"/>
      <c r="C2"/>
      <c r="D2" t="inlineStr">
        <is>
          <t>王金丰,刘新瀚</t>
        </is>
      </c>
    </row>
  </sheetData>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人员编号</t>
        </is>
      </c>
      <c r="B1" s="1" t="inlineStr">
        <is>
          <t>姓名</t>
        </is>
      </c>
      <c r="C1" s="1" t="inlineStr">
        <is>
          <t>角色</t>
        </is>
      </c>
      <c r="D1" s="1" t="inlineStr">
        <is>
          <t>直属上级</t>
        </is>
      </c>
      <c r="E1" s="1" t="inlineStr">
        <is>
          <t>本部部长</t>
        </is>
      </c>
      <c r="F1" s="1" t="inlineStr">
        <is>
          <t>所属部门</t>
        </is>
      </c>
      <c r="G1" s="1" t="inlineStr">
        <is>
          <t>备注</t>
        </is>
      </c>
      <c r="H1" s="1" t="inlineStr">
        <is>
          <t>手机号</t>
        </is>
      </c>
    </row>
    <row r="2" ht="25.5" customHeight="1">
      <c r="A2"/>
      <c r="B2" t="inlineStr">
        <is>
          <t>黄箐</t>
        </is>
      </c>
      <c r="C2" t="inlineStr">
        <is>
          <t>团队负责人</t>
        </is>
      </c>
      <c r="D2"/>
      <c r="E2"/>
      <c r="F2"/>
      <c r="G2"/>
      <c r="H2"/>
    </row>
    <row r="3" ht="25.5" customHeight="1">
      <c r="A3"/>
      <c r="B3" t="inlineStr">
        <is>
          <t>王金丰</t>
        </is>
      </c>
      <c r="C3" t="inlineStr">
        <is>
          <t>骨干学生</t>
        </is>
      </c>
      <c r="D3"/>
      <c r="E3"/>
      <c r="F3" t="inlineStr">
        <is>
          <t>001</t>
        </is>
      </c>
      <c r="G3"/>
      <c r="H3" t="inlineStr">
        <is>
          <t>18579160637</t>
        </is>
      </c>
    </row>
    <row r="4" ht="25.5" customHeight="1">
      <c r="A4"/>
      <c r="B4" t="inlineStr">
        <is>
          <t>尚培贤</t>
        </is>
      </c>
      <c r="C4" t="inlineStr">
        <is>
          <t>部长</t>
        </is>
      </c>
      <c r="D4"/>
      <c r="E4"/>
      <c r="F4" t="inlineStr">
        <is>
          <t>001</t>
        </is>
      </c>
      <c r="G4"/>
      <c r="H4" t="inlineStr">
        <is>
          <t>18233965658</t>
        </is>
      </c>
    </row>
    <row r="5" ht="25.5" customHeight="1">
      <c r="A5"/>
      <c r="B5" t="inlineStr">
        <is>
          <t>刘新瀚</t>
        </is>
      </c>
      <c r="C5" t="inlineStr">
        <is>
          <t>骨干学生</t>
        </is>
      </c>
      <c r="D5"/>
      <c r="E5"/>
      <c r="F5" t="inlineStr">
        <is>
          <t>001</t>
        </is>
      </c>
      <c r="G5"/>
      <c r="H5" t="inlineStr">
        <is>
          <t>18270337201</t>
        </is>
      </c>
    </row>
    <row r="6" ht="25.5" customHeight="1">
      <c r="A6"/>
      <c r="B6" t="inlineStr">
        <is>
          <t>杨黍晨</t>
        </is>
      </c>
      <c r="C6" t="inlineStr">
        <is>
          <t>基层学生</t>
        </is>
      </c>
      <c r="D6" t="inlineStr">
        <is>
          <t>王金丰</t>
        </is>
      </c>
      <c r="E6"/>
      <c r="F6" t="inlineStr">
        <is>
          <t>001</t>
        </is>
      </c>
      <c r="G6"/>
      <c r="H6" t="inlineStr">
        <is>
          <t>15718826943</t>
        </is>
      </c>
    </row>
    <row r="7" ht="25.5" customHeight="1">
      <c r="A7"/>
      <c r="B7" t="inlineStr">
        <is>
          <t>曹达荣</t>
        </is>
      </c>
      <c r="C7" t="inlineStr">
        <is>
          <t>基层学生</t>
        </is>
      </c>
      <c r="D7" t="inlineStr">
        <is>
          <t>王金丰</t>
        </is>
      </c>
      <c r="E7"/>
      <c r="F7" t="inlineStr">
        <is>
          <t>001</t>
        </is>
      </c>
      <c r="G7"/>
      <c r="H7" t="inlineStr">
        <is>
          <t>15279112759</t>
        </is>
      </c>
    </row>
    <row r="8" ht="25.5" customHeight="1">
      <c r="A8"/>
      <c r="B8" t="inlineStr">
        <is>
          <t>白炳壮</t>
        </is>
      </c>
      <c r="C8" t="inlineStr">
        <is>
          <t>基层学生</t>
        </is>
      </c>
      <c r="D8" t="inlineStr">
        <is>
          <t>王金丰</t>
        </is>
      </c>
      <c r="E8"/>
      <c r="F8" t="inlineStr">
        <is>
          <t>001</t>
        </is>
      </c>
      <c r="G8"/>
      <c r="H8" t="inlineStr">
        <is>
          <t>17384832797</t>
        </is>
      </c>
    </row>
    <row r="9" ht="25.5" customHeight="1">
      <c r="A9"/>
      <c r="B9" t="inlineStr">
        <is>
          <t>曹俊林</t>
        </is>
      </c>
      <c r="C9" t="inlineStr">
        <is>
          <t>基层学生</t>
        </is>
      </c>
      <c r="D9" t="inlineStr">
        <is>
          <t>王金丰</t>
        </is>
      </c>
      <c r="E9"/>
      <c r="F9" t="inlineStr">
        <is>
          <t>001</t>
        </is>
      </c>
      <c r="G9"/>
      <c r="H9" t="inlineStr">
        <is>
          <t>18679031939</t>
        </is>
      </c>
    </row>
    <row r="10" ht="25.5" customHeight="1">
      <c r="A10"/>
      <c r="B10"/>
      <c r="C10"/>
      <c r="D10"/>
      <c r="E10"/>
      <c r="F10"/>
      <c r="G10"/>
      <c r="H10"/>
    </row>
  </sheetData>
  <dataValidations count="1">
    <dataValidation allowBlank="false" sqref="C2:C9" type="list">
      <formula1>"基层学生,骨干学生,部长,团队负责人"</formula1>
    </dataValidation>
  </dataValidations>
</worksheet>
</file>

<file path=xl/worksheets/sheet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文本</t>
        </is>
      </c>
      <c r="B1" s="1" t="inlineStr">
        <is>
          <t>使用人</t>
        </is>
      </c>
      <c r="C1" s="1" t="inlineStr">
        <is>
          <t>角色</t>
        </is>
      </c>
      <c r="D1" s="1" t="inlineStr">
        <is>
          <t>分析skill</t>
        </is>
      </c>
      <c r="E1" s="1" t="inlineStr">
        <is>
          <t>修改日期</t>
        </is>
      </c>
    </row>
  </sheetData>
</worksheet>
</file>

<file path=xl/worksheets/sheet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s>
  <sheetData>
    <row r="1" ht="13" customHeight="1">
      <c r="A1" s="1" t="inlineStr">
        <is>
          <t>自动编号</t>
        </is>
      </c>
      <c r="B1" s="1" t="inlineStr">
        <is>
          <t>提交时间</t>
        </is>
      </c>
      <c r="C1" s="1" t="inlineStr">
        <is>
          <t>姓名：</t>
        </is>
      </c>
      <c r="D1" s="1" t="inlineStr">
        <is>
          <t>提交人</t>
        </is>
      </c>
      <c r="E1" s="1" t="inlineStr">
        <is>
          <t>工作进展：</t>
        </is>
      </c>
      <c r="F1" s="1" t="inlineStr">
        <is>
          <t>工作困难：</t>
        </is>
      </c>
      <c r="G1" s="1" t="inlineStr">
        <is>
          <t>心得反思：</t>
        </is>
      </c>
      <c r="H1" s="1" t="inlineStr">
        <is>
          <t>其他：</t>
        </is>
      </c>
      <c r="I1" s="1" t="inlineStr">
        <is>
          <t>完整日志</t>
        </is>
      </c>
    </row>
    <row r="2" ht="25.5" customHeight="1">
      <c r="A2">
        <v>7</v>
      </c>
      <c r="B2" s="2">
        <v>46299.72857638889</v>
      </c>
      <c r="C2" t="inlineStr">
        <is>
          <t>王金丰</t>
        </is>
      </c>
      <c r="D2" t="inlineStr">
        <is>
          <t>王金丰</t>
        </is>
      </c>
      <c r="E2" t="inlineStr">
        <is>
          <t>核对人员编号、角色、直属上级及所属部门的映射，整理组织缓存刷新检查项。</t>
        </is>
      </c>
      <c r="F2" t="inlineStr">
        <is>
          <t>部门表的部长字段是查找引用，仍需验证人员与部门记录能否稳定对应。</t>
        </is>
      </c>
      <c r="G2" t="inlineStr">
        <is>
          <t>应先校验组织关系再生成每日快照，避免把日志分配给错误的评价人。</t>
        </is>
      </c>
      <c r="H2" t="inlineStr">
        <is>
          <t>下一步：用真实成员身份验证关系和 OpenID</t>
        </is>
      </c>
      <c r="I2" t="inlineStr">
        <is>
          <t>工作进展:核对人员编号、角色、直属上级及所属部门的映射，整理组织缓存刷新检查项。
工作困难:部门表的部长字段是查找引用，仍需验证人员与部门记录能否稳定对应。
心得反思:应先校验组织关系再生成每日快照，避免把日志分配给错误的评价人。
其他:下一步：用真实成员身份验证关系和 OpenID</t>
        </is>
      </c>
    </row>
    <row r="3" ht="25.5" customHeight="1">
      <c r="A3">
        <v>12</v>
      </c>
      <c r="B3" s="2">
        <v>46299.73846064815</v>
      </c>
      <c r="C3" t="inlineStr">
        <is>
          <t>曹俊林</t>
        </is>
      </c>
      <c r="D3" t="inlineStr">
        <is>
          <t>曹俊林</t>
        </is>
      </c>
      <c r="E3" t="inlineStr">
        <is>
          <t>检查每日定时任务、飞书记录变更事件及服务重启后的恢复流程。</t>
        </is>
      </c>
      <c r="F3" t="inlineStr">
        <is>
          <t>长连接可能断开或漏投事件，需要定时核对未完成的评价记录。</t>
        </is>
      </c>
      <c r="G3" t="inlineStr">
        <is>
          <t>事件回调只负责通知后台处理；恢复任务应复用已有快照，避免重复发送消息。</t>
        </is>
      </c>
      <c r="H3" t="inlineStr">
        <is>
          <t>下一步：模拟事件漏投和服务重启，验证截止后仍能继续推进。</t>
        </is>
      </c>
      <c r="I3" t="inlineStr">
        <is>
          <t>工作进展:检查每日定时任务、飞书记录变更事件及服务重启后的恢复流程。
工作困难:长连接可能断开或漏投事件，需要定时核对未完成的评价记录。
心得反思:事件回调只负责通知后台处理；恢复任务应复用已有快照，避免重复发送消息。
其他:下一步：模拟事件漏投和服务重启，验证截止后仍能继续推进。</t>
        </is>
      </c>
    </row>
    <row r="4" ht="25.5" customHeight="1">
      <c r="A4">
        <v>13</v>
      </c>
      <c r="B4" s="2">
        <v>46299.740115740744</v>
      </c>
      <c r="C4" t="inlineStr">
        <is>
          <t>杨黍晨</t>
        </is>
      </c>
      <c r="D4" t="inlineStr">
        <is>
          <t>杨黍晨</t>
        </is>
      </c>
      <c r="E4" t="inlineStr">
        <is>
          <t>正在重写S01 skill，梳理原有逻辑，优化代码结构，完成基础框架搭建。</t>
        </is>
      </c>
      <c r="F4" t="inlineStr">
        <is>
          <t>部分原有接口逻辑较复杂，需要反复核对业务场景，重构时要兼顾兼容性，调试耗时较长。</t>
        </is>
      </c>
      <c r="G4" t="inlineStr">
        <is>
          <t>重构前要充分梳理旧代码的业务分支，提前标记边界场景，能减少后续反复调试的工作量。</t>
        </is>
      </c>
      <c r="H4"/>
      <c r="I4" t="inlineStr">
        <is>
          <t>工作进展:正在重写S01 skill，梳理原有逻辑，优化代码结构，完成基础框架搭建。
工作困难:部分原有接口逻辑较复杂，需要反复核对业务场景，重构时要兼顾兼容性，调试耗时较长。
心得反思:重构前要充分梳理旧代码的业务分支，提前标记边界场景，能减少后续反复调试的工作量。
其他:未填写</t>
        </is>
      </c>
    </row>
    <row r="5" ht="25.5" customHeight="1">
      <c r="A5">
        <v>14</v>
      </c>
      <c r="B5" s="2">
        <v>46299.743055555555</v>
      </c>
      <c r="C5" t="inlineStr">
        <is>
          <t>刘新瀚</t>
        </is>
      </c>
      <c r="D5" t="inlineStr">
        <is>
          <t>刘新瀚</t>
        </is>
      </c>
      <c r="E5" t="inlineStr">
        <is>
          <t>已完成 C 语言课程的学习，当前进度推进至函数相关章节。</t>
        </is>
      </c>
      <c r="F5" t="inlineStr">
        <is>
          <t>指针相关内容难以理解。</t>
        </is>
      </c>
      <c r="G5" t="inlineStr">
        <is>
          <t>应加快工作推进进度，持续开展相关学习。</t>
        </is>
      </c>
      <c r="H5"/>
      <c r="I5" t="inlineStr">
        <is>
          <t>工作进展:已完成 C 语言课程的学习，当前进度推进至函数相关章节。
工作困难:指针相关内容难以理解。
心得反思:应加快工作推进进度，持续开展相关学习。
其他:未填写</t>
        </is>
      </c>
    </row>
    <row r="6" ht="25.5" customHeight="1">
      <c r="A6">
        <v>15</v>
      </c>
      <c r="B6" s="2">
        <v>46299.74842592593</v>
      </c>
      <c r="C6" t="inlineStr">
        <is>
          <t>曹达荣</t>
        </is>
      </c>
      <c r="D6" t="inlineStr">
        <is>
          <t>曹达荣</t>
        </is>
      </c>
      <c r="E6" t="inlineStr">
        <is>
          <t>梳理上海时区下的昨日日志筛选和分页读取，检查同一人同日多条日志均进入快照。</t>
        </is>
      </c>
      <c r="F6" t="inlineStr">
        <is>
          <t>提交人和提交时间是飞书自动字段，应用代写时无法指定为模拟成员。</t>
        </is>
      </c>
      <c r="G6" t="inlineStr">
        <is>
          <t>快照需保留原记录ID和提交时间，重复时复用同一份数据。</t>
        </is>
      </c>
      <c r="H6" t="inlineStr">
        <is>
          <t>下一步:验证日期边界和重复运行。</t>
        </is>
      </c>
      <c r="I6" t="inlineStr">
        <is>
          <t>工作进展:梳理上海时区下的昨日日志筛选和分页读取，检查同一人同日多条日志均进入快照。
工作困难:提交人和提交时间是飞书自动字段，应用代写时无法指定为模拟成员。
心得反思:快照需保留原记录ID和提交时间，重复时复用同一份数据。
其他:下一步:验证日期边界和重复运行。</t>
        </is>
      </c>
    </row>
    <row r="7" ht="25.5" customHeight="1">
      <c r="A7">
        <v>16</v>
      </c>
      <c r="B7" s="2">
        <v>46299.75509259259</v>
      </c>
      <c r="C7" t="inlineStr">
        <is>
          <t>白炳壮</t>
        </is>
      </c>
      <c r="D7" t="inlineStr">
        <is>
          <t>白炳壮</t>
        </is>
      </c>
      <c r="E7" t="inlineStr">
        <is>
          <t>当前工作进展如下：
1. 业务学习：
学习相关业务流程，了解岗位相关工作内容。
2. 事务执行：
协助完成资料整理、信息核对工作，完成交办的各项基础事务。</t>
        </is>
      </c>
      <c r="F7" t="inlineStr">
        <is>
          <t>当前对部分业务流程的熟悉度不足，处理相关问题的经验较为欠缺，部分工作内容需要反复核对确认。</t>
        </is>
      </c>
      <c r="G7" t="inlineStr">
        <is>
          <t>1. 后续工作需进一步熟悉业务知识，遇到不明确的问题及时向他人请教。
2. 主动总结工作方法，减少不必要的重复工作。</t>
        </is>
      </c>
      <c r="H7" t="inlineStr">
        <is>
          <t>无</t>
        </is>
      </c>
      <c r="I7" t="inlineStr">
        <is>
          <t>工作进展:当前工作进展如下：
1. 业务学习：
学习相关业务流程，了解岗位相关工作内容。
2. 事务执行：
协助完成资料整理、信息核对工作，完成交办的各项基础事务。
工作困难:当前对部分业务流程的熟悉度不足，处理相关问题的经验较为欠缺，部分工作内容需要反复核对确认。
心得反思:1. 后续工作需进一步熟悉业务知识，遇到不明确的问题及时向他人请教。
2. 主动总结工作方法，减少不必要的重复工作。
其他:无</t>
        </is>
      </c>
    </row>
    <row r="8" ht="25.5" customHeight="1">
      <c r="A8">
        <v>17</v>
      </c>
      <c r="B8" s="2">
        <v>46300.44024305556</v>
      </c>
      <c r="C8" t="inlineStr">
        <is>
          <t>杨黍晨</t>
        </is>
      </c>
      <c r="D8" t="inlineStr">
        <is>
          <t>杨黍晨</t>
        </is>
      </c>
      <c r="E8" t="inlineStr">
        <is>
          <t>正在重写S01 skill，梳理原有逻辑，优化代码结构，完成基础框架搭建。</t>
        </is>
      </c>
      <c r="F8" t="inlineStr">
        <is>
          <t>部分原有接口逻辑较复杂，需要反复核对业务场景，重构时要兼顾兼容性，调试耗时较长。</t>
        </is>
      </c>
      <c r="G8" t="inlineStr">
        <is>
          <t>重构前要充分梳理旧代码的业务分支，提前标记边界场景，能减少后续反复调试的工作量。</t>
        </is>
      </c>
      <c r="H8"/>
      <c r="I8"/>
    </row>
    <row r="9" ht="25.5" customHeight="1">
      <c r="A9">
        <v>18</v>
      </c>
      <c r="B9" s="2">
        <v>46300.51479166667</v>
      </c>
      <c r="C9" t="inlineStr">
        <is>
          <t>曹达荣</t>
        </is>
      </c>
      <c r="D9" t="inlineStr">
        <is>
          <t>曹达荣</t>
        </is>
      </c>
      <c r="E9" t="inlineStr">
        <is>
          <t>梳理上海时区下的昨日日志筛选和分页读取，检查同一人同日多条日志均进入快照。</t>
        </is>
      </c>
      <c r="F9" t="inlineStr">
        <is>
          <t>提交人和提交时间是飞书自动字段，应用代写时无法指定为模拟成员。</t>
        </is>
      </c>
      <c r="G9" t="inlineStr">
        <is>
          <t>快照需保留原记录 ID 和提交时间，重试时复用同一份数据。</t>
        </is>
      </c>
      <c r="H9" t="inlineStr">
        <is>
          <t>下一步：验证日期边界和重复运行。</t>
        </is>
      </c>
      <c r="I9"/>
    </row>
    <row r="10" ht="25.5" customHeight="1">
      <c r="A10">
        <v>19</v>
      </c>
      <c r="B10" s="2">
        <v>46300.57045138889</v>
      </c>
      <c r="C10" t="inlineStr">
        <is>
          <t>刘新瀚</t>
        </is>
      </c>
      <c r="D10" t="inlineStr">
        <is>
          <t>刘新瀚</t>
        </is>
      </c>
      <c r="E10" t="inlineStr">
        <is>
          <t>C 语言学习目前推进至函数部分。</t>
        </is>
      </c>
      <c r="F10" t="inlineStr">
        <is>
          <t>当前工作中遇到的困难为递归相关内容难以理解。</t>
        </is>
      </c>
      <c r="G10" t="inlineStr">
        <is>
          <t>应加快学习进度。</t>
        </is>
      </c>
      <c r="H10"/>
      <c r="I10"/>
    </row>
    <row r="11" ht="25.5" customHeight="1">
      <c r="A11">
        <v>20</v>
      </c>
      <c r="B11" s="2">
        <v>46300.574224537035</v>
      </c>
      <c r="C11" t="inlineStr">
        <is>
          <t>杨黍晨</t>
        </is>
      </c>
      <c r="D11" t="inlineStr">
        <is>
          <t>杨黍晨</t>
        </is>
      </c>
      <c r="E11" t="inlineStr">
        <is>
          <t>完成s01skill重写工作，梳理原有逻辑并完成代码重构，当前开发任务已全部完成。</t>
        </is>
      </c>
      <c r="F11" t="inlineStr">
        <is>
          <t>本次重构过程整体顺利，无重大阻塞问题。</t>
        </is>
      </c>
      <c r="G11" t="inlineStr">
        <is>
          <t>通过本次skill重写，理清了原有业务逻辑，优化了代码结构，提升了模块可维护性，后续迭代会更加高效。</t>
        </is>
      </c>
      <c r="H11"/>
      <c r="I11"/>
    </row>
    <row r="12" ht="25.5" customHeight="1">
      <c r="A12">
        <v>21</v>
      </c>
      <c r="B12" s="2">
        <v>46300.576377314814</v>
      </c>
      <c r="C12" t="inlineStr">
        <is>
          <t>曹俊林</t>
        </is>
      </c>
      <c r="D12" t="inlineStr">
        <is>
          <t>曹俊林</t>
        </is>
      </c>
      <c r="E12" t="inlineStr">
        <is>
          <t>完成AI智能体基础框架梳理，调研相关API调用方案，完成初步功能构思，整理项目需求文档。</t>
        </is>
      </c>
      <c r="F12" t="inlineStr">
        <is>
          <t>部分模型接口参数调试耗时较长，智能体任务逻辑编排还需要进一步优化。</t>
        </is>
      </c>
      <c r="G12" t="inlineStr">
        <is>
          <t>搭建智能体前要先理清业务流程，提前做好接口测试，减少后续返工。</t>
        </is>
      </c>
      <c r="H12" t="inlineStr">
        <is>
          <t>计划明日继续调试对话链路，完善测试用例。</t>
        </is>
      </c>
      <c r="I12"/>
    </row>
    <row r="13" ht="25.5" customHeight="1">
      <c r="A13">
        <v>22</v>
      </c>
      <c r="B13" s="2">
        <v>46300.58460648148</v>
      </c>
      <c r="C13" t="inlineStr">
        <is>
          <t>白炳壮</t>
        </is>
      </c>
      <c r="D13" t="inlineStr">
        <is>
          <t>白炳壮</t>
        </is>
      </c>
      <c r="E13" t="inlineStr">
        <is>
          <t>完成当日分配的各项工作任务，梳理工作资料，核对相关文档信息；跟进待办事项，按计划推进手头工作，完成基础整理、信息核对工作。</t>
        </is>
      </c>
      <c r="F13" t="inlineStr">
        <is>
          <t>部分业务细节不够熟悉，处理部分任务时效率有待提升；遇到部分疑问点需要查阅资料确认。</t>
        </is>
      </c>
      <c r="G13" t="inlineStr">
        <is>
          <t>做事需要更加注重细节，做好事前梳理，遇到不懂的地方要及时沟通请教，合理规划时间提升工作效率。</t>
        </is>
      </c>
      <c r="H13" t="inlineStr">
        <is>
          <t>无</t>
        </is>
      </c>
      <c r="I13"/>
    </row>
    <row r="14" ht="25.5" customHeight="1">
      <c r="A14">
        <v>23</v>
      </c>
      <c r="B14" s="2">
        <v>46300.703414351854</v>
      </c>
      <c r="C14" t="inlineStr">
        <is>
          <t>王金丰</t>
        </is>
      </c>
      <c r="D14" t="inlineStr">
        <is>
          <t>王金丰</t>
        </is>
      </c>
      <c r="E14" t="inlineStr">
        <is>
          <t>1. 文献管理系统开发进展：
完成文献管理系统的后端框架选型，采用 FastAPI+SQLite 搭建基础架构，共实现论文条目的增删改查接口8个，跑通 pytest 单元测试，测试覆盖率为62%。
2. GraphRAG 相关复现进展：
复现 GraphRAG 论文中实体抽取的 baseline，在200篇离散数学文献数据集上进行抽取测试，召回率仅为0.71。</t>
        </is>
      </c>
      <c r="F14" t="inlineStr">
        <is>
          <t>1. 实体抽取功能问题
实体抽取功能对中文缩写和 et al. 引用的处理效果较差，长文档分块后，跨块的引用关系会全部丢失。
2. 向量库选型困难
向量库选型暂无明确思路，Milvus 过于笨重，Chroma 无法保障期末演示的规模需求。</t>
        </is>
      </c>
      <c r="G14" t="inlineStr">
        <is>
          <t>引用关系其实藏在"作者-年份"模式里，可以放弃通用 NER，改用正则+DOI 反查 Semantic Scholar API来补全引用边，这个思路如果成立，可以抽成一个通用的中文文献解析小工具</t>
        </is>
      </c>
      <c r="H14" t="inlineStr">
        <is>
          <t>周五组会要汇报进度，周三前得把 demo 环境装好</t>
        </is>
      </c>
      <c r="I14"/>
    </row>
    <row r="15" ht="25.5" customHeight="1">
      <c r="A15">
        <v>24</v>
      </c>
      <c r="B15" s="2">
        <v>46300.75240740741</v>
      </c>
      <c r="C15" t="inlineStr">
        <is>
          <t>王金丰</t>
        </is>
      </c>
      <c r="D15" t="inlineStr">
        <is>
          <t>王金丰</t>
        </is>
      </c>
      <c r="E15" t="inlineStr">
        <is>
          <t>1. 文献管理系统开发进展：
完成文献管理系统的后端框架选型，采用 FastAPI + SQLite 搭建基础框架，共实现 8 个论文条目增删改查接口，跑通 pytest 单元测试，测试覆盖率为 62%。
2. GraphRAG 相关研究进展：
复现 GraphRAG 论文中实体抽取的 baseline，在 200 篇离散数学文献数据集上的抽取召回率为 0.71。</t>
        </is>
      </c>
      <c r="F15" t="inlineStr">
        <is>
          <t>实体抽取对中文缩写和"et al."引用处理很差，长文档分块后跨块的引用关系全丢；向量库选型没头绪，Milvus 太重、Chroma怕顶不住期末演示规模</t>
        </is>
      </c>
      <c r="G15" t="inlineStr">
        <is>
          <t>引用关系其实藏在"作者-年份"模式里，可以放弃通用 NER，改用正则+DOI 反查Semantic Scholar API来补全引用边，这个思路如果成立，可以抽成一个通用的中文文献解析小工具</t>
        </is>
      </c>
      <c r="H15" t="inlineStr">
        <is>
          <t>周五组会要汇报进度，周三前得把 demo 环境装好</t>
        </is>
      </c>
      <c r="I15"/>
    </row>
    <row r="16" ht="25.5" customHeight="1">
      <c r="A16">
        <v>25</v>
      </c>
      <c r="B16" s="2">
        <v>46301.04703703704</v>
      </c>
      <c r="C16" t="inlineStr">
        <is>
          <t>白炳壮</t>
        </is>
      </c>
      <c r="D16" t="inlineStr">
        <is>
          <t>白炳壮</t>
        </is>
      </c>
      <c r="E16" t="inlineStr">
        <is>
          <t>完成当日分配的各项工作任务，梳理工作资料，核对相关文档信息；跟进待办事项，按计划推进手头工作，完成基础整理、信息核对工作。</t>
        </is>
      </c>
      <c r="F16" t="inlineStr">
        <is>
          <t>部分业务细节不够熟悉，处理部分任务时效率有待提升；遇到部分疑问点需要查阅资料确认。</t>
        </is>
      </c>
      <c r="G16" t="inlineStr">
        <is>
          <t>做事需要更加注重细节，做好事前梳理，遇到不懂的地方要及时沟通请教，合理规划时间提升工作效率。</t>
        </is>
      </c>
      <c r="H16" t="inlineStr">
        <is>
          <t>无</t>
        </is>
      </c>
      <c r="I16"/>
    </row>
    <row r="17" ht="25.5" customHeight="1">
      <c r="A17">
        <v>26</v>
      </c>
      <c r="B17" s="2">
        <v>46301.17927083333</v>
      </c>
      <c r="C17" t="inlineStr">
        <is>
          <t>曹俊林</t>
        </is>
      </c>
      <c r="D17" t="inlineStr">
        <is>
          <t>曹俊林</t>
        </is>
      </c>
      <c r="E17" t="inlineStr">
        <is>
          <t>推进AI智能体项目开发，完成基础提示词编写，测试基础对话响应效果。</t>
        </is>
      </c>
      <c r="F17" t="inlineStr">
        <is>
          <t>智能体上下文记忆效果不稳定，需要调整参数优化。</t>
        </is>
      </c>
      <c r="G17" t="inlineStr">
        <is>
          <t>提示词设计对智能体输出质量影响很大，需要多轮迭代测试。</t>
        </is>
      </c>
      <c r="H17" t="inlineStr">
        <is>
          <t>暂无。</t>
        </is>
      </c>
      <c r="I17"/>
    </row>
    <row r="18" ht="25.5" customHeight="1">
      <c r="A18">
        <v>27</v>
      </c>
      <c r="B18" s="2">
        <v>46301.376493055555</v>
      </c>
      <c r="C18" t="inlineStr">
        <is>
          <t>曹达荣</t>
        </is>
      </c>
      <c r="D18" t="inlineStr">
        <is>
          <t>曹达荣</t>
        </is>
      </c>
      <c r="E18" t="inlineStr">
        <is>
          <t>梳理上海时区下的昨日日志筛选和分页读取，检查同一人同日多条日志均进入快照</t>
        </is>
      </c>
      <c r="F18" t="inlineStr">
        <is>
          <t>提交人和提交时间是飞书自动字段，应用代写时无法指定为模拟成员。</t>
        </is>
      </c>
      <c r="G18" t="inlineStr">
        <is>
          <t>快照需保留原记录 ID 和提交时间，重试时复用同一份数据。</t>
        </is>
      </c>
      <c r="H18" t="inlineStr">
        <is>
          <t>下一步：验证日期边界和重复运行。</t>
        </is>
      </c>
      <c r="I18"/>
    </row>
    <row r="19" ht="25.5" customHeight="1">
      <c r="A19">
        <v>28</v>
      </c>
      <c r="B19" s="2">
        <v>46301.439733796295</v>
      </c>
      <c r="C19" t="inlineStr">
        <is>
          <t>刘新瀚</t>
        </is>
      </c>
      <c r="D19" t="inlineStr">
        <is>
          <t>刘新瀚</t>
        </is>
      </c>
      <c r="E19" t="inlineStr">
        <is>
          <t>已完成 C 语言相关内容的编写工作。</t>
        </is>
      </c>
      <c r="F19" t="inlineStr">
        <is>
          <t>对当前相关工作内容的掌握程度不足，仅处于一知半解的状态。</t>
        </is>
      </c>
      <c r="G19" t="inlineStr">
        <is>
          <t>会及时复习。</t>
        </is>
      </c>
      <c r="H19"/>
      <c r="I19"/>
    </row>
    <row r="20" ht="25.5" customHeight="1">
      <c r="A20">
        <v>29</v>
      </c>
      <c r="B20" s="2">
        <v>46301.44101851852</v>
      </c>
      <c r="C20" t="inlineStr">
        <is>
          <t>杨黍晨</t>
        </is>
      </c>
      <c r="D20" t="inlineStr">
        <is>
          <t>杨黍晨</t>
        </is>
      </c>
      <c r="E20" t="inlineStr">
        <is>
          <t>正在重写S01 skill，梳理原有逻辑，优化代码结构，完成基础框架搭建。</t>
        </is>
      </c>
      <c r="F20" t="inlineStr">
        <is>
          <t>部分原有接口逻辑较复杂，需要反复核对业务场景，重构时要兼顾兼容性，调试耗时较长。</t>
        </is>
      </c>
      <c r="G20" t="inlineStr">
        <is>
          <t>重构前要充分梳理旧代码的业务分支，提前标记边界场景，能减少后续反复调试的工作量。</t>
        </is>
      </c>
      <c r="H20"/>
      <c r="I20"/>
    </row>
  </sheetData>
</worksheet>
</file>

<file path=xl/worksheets/sheet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s>
  <sheetData>
    <row r="1" ht="13" customHeight="1">
      <c r="A1" s="1" t="inlineStr">
        <is>
          <t>业务编号</t>
        </is>
      </c>
      <c r="B1" s="1" t="inlineStr">
        <is>
          <t>被评价日志提交人</t>
        </is>
      </c>
      <c r="C1" s="1" t="inlineStr">
        <is>
          <t>被评价人姓名</t>
        </is>
      </c>
      <c r="D1" s="1" t="inlineStr">
        <is>
          <t>评价时间</t>
        </is>
      </c>
      <c r="E1" s="1" t="inlineStr">
        <is>
          <t>工作日志</t>
        </is>
      </c>
      <c r="F1" s="1" t="inlineStr">
        <is>
          <t>肯定之处_AI</t>
        </is>
      </c>
      <c r="G1" s="1" t="inlineStr">
        <is>
          <t>改进之处_AI</t>
        </is>
      </c>
    </row>
    <row r="2" ht="25.5" customHeight="1">
      <c r="A2" t="inlineStr">
        <is>
          <t>2026-10-04:EVAL:reczz28JHSqwV93N:007</t>
        </is>
      </c>
      <c r="B2" t="inlineStr">
        <is>
          <t>王金丰</t>
        </is>
      </c>
      <c r="C2"/>
      <c r="D2" s="3">
        <v>46300.75375</v>
      </c>
      <c r="E2" t="inlineStr">
        <is>
          <t>工作进展:核对人员编号、角色、直属上级及所属部门的映射，整理组织缓存刷新检查项。
工作困难:部门表的部长字段是查找引用，仍需验证人员与部门记录能否稳定对应。
心得反思:应先校验组织关系再生成每日快照，避免把日志分配给错误的评价人。
其他:下一步：用真实成员身份验证关系和 OpenID</t>
        </is>
      </c>
      <c r="F2" t="inlineStr">
        <is>
          <t>日志明确记录了核对人员编号、角色、直属上级及所属部门映射，并整理组织缓存刷新检查项，工作行为具体；对部门表部长字段为查找引用提出验证人员与部门记录稳定对应的困难，识别了数据关联风险；心得提出先校验组织关系再生成每日快照以避免日志分配错评价人，下一步拟用真实成员身份验证关系和 OpenID，有风险前置意识。</t>
        </is>
      </c>
      <c r="G2" t="inlineStr">
        <is>
          <t>进展记录缺少核对范围与结果，建议补充涉及人数/部门数、匹配一致率及不一致清单；困难仅说明部长字段是查找引用，建议记录具体验证方法、样本或失败场景；下一步方向明确但缺时间点、完成标准和 OpenID 验证的预期结果与异常处理，建议补齐。</t>
        </is>
      </c>
    </row>
    <row r="3" ht="25.5" customHeight="1">
      <c r="A3" t="inlineStr">
        <is>
          <t>2026-10-04:EVAL:reczz28JHRONoyan:012</t>
        </is>
      </c>
      <c r="B3" t="inlineStr">
        <is>
          <t>曹俊林</t>
        </is>
      </c>
      <c r="C3"/>
      <c r="D3" s="3">
        <v>46300.75375</v>
      </c>
      <c r="E3" t="inlineStr">
        <is>
          <t>工作进展:检查每日定时任务、飞书记录变更事件及服务重启后的恢复流程。
工作困难:长连接可能断开或漏投事件，需要定时核对未完成的评价记录。
心得反思:事件回调只负责通知后台处理；恢复任务应复用已有快照，避免重复发送消息。
其他:下一步：模拟事件漏投和服务重启，验证截止后仍能继续推进。</t>
        </is>
      </c>
      <c r="F3" t="inlineStr">
        <is>
          <t>工作内容具体：日志列出检查每日定时任务、飞书记录变更事件及服务重启恢复流程，属于可核对的明确事项；困难定位清晰：指出长连接可能断开或漏投事件，并提出定时核对未完成评价记录的应对方向；反思有实质区分：明确事件回调只负责通知、恢复任务应复用已有快照以避免重复发送消息，并给出模拟漏投与服务重启的下一步验证计划。</t>
        </is>
      </c>
      <c r="G3" t="inlineStr">
        <is>
          <t>缺少过程与结果记录：未写明检查了哪些定时任务、是否发现异常、恢复流程验证结果，建议补充具体任务名、异常现象与结论；困难分析可再深入：未说明漏投的判定方式、已尝试的应对或核对频率，建议记录核对周期与比对依据；下一步缺验证标准：建议补充模拟漏投和重启后的预期结果与判定指标（如补投成功率、无重复消息）。</t>
        </is>
      </c>
    </row>
    <row r="4" ht="25.5" customHeight="1">
      <c r="A4" t="inlineStr">
        <is>
          <t>2026-10-04:EVAL:reczz28JHRONoyan:013</t>
        </is>
      </c>
      <c r="B4" t="inlineStr">
        <is>
          <t>杨黍晨</t>
        </is>
      </c>
      <c r="C4"/>
      <c r="D4" s="3">
        <v>46300.75375</v>
      </c>
      <c r="E4" t="inlineStr">
        <is>
          <t>工作进展:正在重写S01 skill，梳理原有逻辑，优化代码结构，完成基础框架搭建。
工作困难:部分原有接口逻辑较复杂，需要反复核对业务场景，重构时要兼顾兼容性，调试耗时较长。
心得反思:重构前要充分梳理旧代码的业务分支，提前标记边界场景，能减少后续反复调试的工作量。
其他:未填写</t>
        </is>
      </c>
      <c r="F4" t="inlineStr">
        <is>
          <t>日志明确记录了具体工作行为：重写S01 skill、梳理原有逻辑、优化代码结构并完成基础框架搭建，工作方向清晰。心得反思提出“重构前充分梳理旧代码业务分支、提前标记边界场景”，并说明其作用是减少后续反复调试，属于来自本次实践的可复用方法，值得肯定。</t>
        </is>
      </c>
      <c r="G4" t="inlineStr">
        <is>
          <t>记录缺口较明显：进展仅写到“完成基础框架搭建”，未说明框架覆盖范围、接口数量或完成度；困难只提“部分接口逻辑较复杂”，未写明具体接口、复杂点或已尝试的方案。建议补充：本次重构涉及的接口清单与已完成/待完成比例；列出1—2个复杂接口的兼容性处理方式；说明下一步计划及预计验证方式（如用例、回归测试），以便评价人核对。</t>
        </is>
      </c>
    </row>
    <row r="5" ht="25.5" customHeight="1">
      <c r="A5" t="inlineStr">
        <is>
          <t>2026-10-04:EVAL:reczz28JHSqwV93N:014</t>
        </is>
      </c>
      <c r="B5" t="inlineStr">
        <is>
          <t>刘新瀚</t>
        </is>
      </c>
      <c r="C5"/>
      <c r="D5" s="3">
        <v>46300.75375</v>
      </c>
      <c r="E5" t="inlineStr">
        <is>
          <t>工作进展:已完成 C 语言课程的学习，当前进度推进至函数相关章节。
工作困难:指针相关内容难以理解。
心得反思:应加快工作推进进度，持续开展相关学习。
其他:未填写</t>
        </is>
      </c>
      <c r="F5" t="inlineStr">
        <is>
          <t>日志明确记录已完成C语言课程学习、当前进度推进至函数章节，能看出学习阶段和进度；心得中提出应加快进度并持续学习，体现了对学习节奏的主动反思。</t>
        </is>
      </c>
      <c r="G5" t="inlineStr">
        <is>
          <t>“已完成C语言课程”与“推进至函数章节”表述不一致，建议明确完成范围并补充函数章节的具体学习内容或完成标准；困难仅写“指针难以理解”，建议补充具体卡点、已尝试方法和所需支持；反思只写“加快进度”，建议补充每日或每周学习目标、时间安排和检查方式。</t>
        </is>
      </c>
    </row>
    <row r="6" ht="25.5" customHeight="1">
      <c r="A6" t="inlineStr">
        <is>
          <t>2026-10-04:EVAL:reczz28JHRONoyan:015</t>
        </is>
      </c>
      <c r="B6" t="inlineStr">
        <is>
          <t>曹达荣</t>
        </is>
      </c>
      <c r="C6"/>
      <c r="D6" s="3">
        <v>46300.75375</v>
      </c>
      <c r="E6" t="inlineStr">
        <is>
          <t>工作进展:梳理上海时区下的昨日日志筛选和分页读取，检查同一人同日多条日志均进入快照。
工作困难:提交人和提交时间是飞书自动字段，应用代写时无法指定为模拟成员。
心得反思:快照需保留原记录ID和提交时间，重复时复用同一份数据。
其他:下一步:验证日期边界和重复运行。</t>
        </is>
      </c>
      <c r="F6" t="inlineStr">
        <is>
          <t>梳理上海时区下的昨日日志筛选与分页读取，并检查同一人同日多条日志是否均进入快照，工作对象和检查点写得具体；心得提出快照需保留原记录ID和提交时间、重复时复用同一份数据，反映出对数据可追溯性和重复运行的考虑。</t>
        </is>
      </c>
      <c r="G6" t="inlineStr">
        <is>
          <t>困难仅记录“提交人、提交时间是飞书自动字段，无法指定为模拟成员”这一现象，未写影响范围、已尝试方案或替代做法，建议补充试过的思路和拟采用的绕行方式；下一步“验证日期边界和重复运行”缺少具体边界用例（如跨日、时区临界）、预期结果和完成时间，建议列出可核对的验证清单。</t>
        </is>
      </c>
    </row>
    <row r="7" ht="25.5" customHeight="1">
      <c r="A7" t="inlineStr">
        <is>
          <t>2026-10-04:EVAL:reczz28JHRONoyan:016</t>
        </is>
      </c>
      <c r="B7" t="inlineStr">
        <is>
          <t>白炳壮</t>
        </is>
      </c>
      <c r="C7"/>
      <c r="D7" s="3">
        <v>46300.75375</v>
      </c>
      <c r="E7" t="inlineStr">
        <is>
          <t>工作进展:当前工作进展如下：
1. 业务学习：
学习相关业务流程，了解岗位相关工作内容。
2. 事务执行：
协助完成资料整理、信息核对工作，完成交办的各项基础事务。
工作困难:当前对部分业务流程的熟悉度不足，处理相关问题的经验较为欠缺，部分工作内容需要反复核对确认。
心得反思:1. 后续工作需进一步熟悉业务知识，遇到不明确的问题及时向他人请教。
2. 主动总结工作方法，减少不必要的重复工作。
其他:无</t>
        </is>
      </c>
      <c r="F7" t="inlineStr">
        <is>
          <t>日志明确了业务学习与事务执行两条主线，并如实记录困难及原因（对部分流程熟悉度不足、经验欠缺导致反复核对），心得提出“及时请教”“总结方法减少重复工作”，方向具体可执行。</t>
        </is>
      </c>
      <c r="G7" t="inlineStr">
        <is>
          <t>记录偏笼统：未写明具体业务流程、资料类型与数量、核对结果及耗时，困难也未指出卡在哪个环节。建议补上具体事项与量化结果；后续计划可设时间节点，如一周内梳理常用流程清单。
</t>
        </is>
      </c>
    </row>
  </sheetData>
</worksheet>
</file>

<file path=xl/worksheets/sheet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0" customWidth="1"/>
    <col min="12" max="12" width="0" customWidth="1"/>
    <col min="13" max="13" width="0" customWidth="1"/>
  </cols>
  <sheetData>
    <row r="1" ht="13" customHeight="1">
      <c r="A1" s="1" t="inlineStr">
        <is>
          <t>评价编号</t>
        </is>
      </c>
      <c r="B1" s="1" t="inlineStr">
        <is>
          <t>被审核基层：</t>
        </is>
      </c>
      <c r="C1" s="1" t="inlineStr">
        <is>
          <t>被审核骨干：</t>
        </is>
      </c>
      <c r="D1" s="1" t="inlineStr">
        <is>
          <t>填写人</t>
        </is>
      </c>
      <c r="E1" s="1" t="inlineStr">
        <is>
          <t>评价时间</t>
        </is>
      </c>
      <c r="F1" s="1" t="inlineStr">
        <is>
          <t>日志原文</t>
        </is>
      </c>
      <c r="G1" s="1" t="inlineStr">
        <is>
          <t>肯定之处_AI是否确认</t>
        </is>
      </c>
      <c r="H1" s="1" t="inlineStr">
        <is>
          <t>肯定之处_人工</t>
        </is>
      </c>
      <c r="I1" s="1" t="inlineStr">
        <is>
          <t>需改进之处_AI是否确认：</t>
        </is>
      </c>
      <c r="J1" s="1" t="inlineStr">
        <is>
          <t>改进之处_人工</t>
        </is>
      </c>
      <c r="K1" s="1" t="inlineStr">
        <is>
          <t>肯定之处_AI</t>
        </is>
      </c>
      <c r="L1" s="1" t="inlineStr">
        <is>
          <t>改进之处_AI</t>
        </is>
      </c>
      <c r="M1" s="1" t="inlineStr">
        <is>
          <t>小组成员</t>
        </is>
      </c>
    </row>
    <row r="2" ht="25.5" customHeight="1">
      <c r="A2" t="inlineStr">
        <is>
          <t>PJ-0021</t>
        </is>
      </c>
      <c r="B2"/>
      <c r="C2"/>
      <c r="D2" t="inlineStr">
        <is>
          <t>王金丰</t>
        </is>
      </c>
      <c r="E2" s="2">
        <v>46300.75457175926</v>
      </c>
      <c r="F2"/>
      <c r="G2" t="inlineStr">
        <is>
          <t>确认无误</t>
        </is>
      </c>
      <c r="H2"/>
      <c r="I2" t="inlineStr">
        <is>
          <t>需修改</t>
        </is>
      </c>
      <c r="J2" t="inlineStr">
        <is>
          <t>困难仅记录“提交人、提交时间是飞书自动字段，无法指定为模拟成员”这一现象，未写影响范围、已尝试方案或替代做法，建议补充试过的思路和拟采用的绕行方式；下一步“验证日期边界和重复运行”缺少具体边界用例（如跨日、时区临界）、预期结果和完成时间，建议列出可核对的验证清单。还需要更加详细的描述贴合实际工作</t>
        </is>
      </c>
      <c r="K2"/>
      <c r="L2"/>
      <c r="M2" t="inlineStr">
        <is>
          <t>杨黍晨,曹达荣,白炳壮,曹俊林</t>
        </is>
      </c>
    </row>
    <row r="3" ht="25.5" customHeight="1">
      <c r="A3" t="inlineStr">
        <is>
          <t>PJ-0022</t>
        </is>
      </c>
      <c r="B3"/>
      <c r="C3"/>
      <c r="D3" t="inlineStr">
        <is>
          <t>王金丰</t>
        </is>
      </c>
      <c r="E3" s="2">
        <v>46300.75481481481</v>
      </c>
      <c r="F3"/>
      <c r="G3" t="inlineStr">
        <is>
          <t>确认无误</t>
        </is>
      </c>
      <c r="H3"/>
      <c r="I3" t="inlineStr">
        <is>
          <t>确认无误</t>
        </is>
      </c>
      <c r="J3"/>
      <c r="K3"/>
      <c r="L3"/>
      <c r="M3" t="inlineStr">
        <is>
          <t>杨黍晨,曹达荣,白炳壮,曹俊林</t>
        </is>
      </c>
    </row>
    <row r="4" ht="25.5" customHeight="1">
      <c r="A4" t="inlineStr">
        <is>
          <t>PJ-0023</t>
        </is>
      </c>
      <c r="B4"/>
      <c r="C4"/>
      <c r="D4" t="inlineStr">
        <is>
          <t>王金丰</t>
        </is>
      </c>
      <c r="E4" s="2">
        <v>46300.75503472222</v>
      </c>
      <c r="F4"/>
      <c r="G4" t="inlineStr">
        <is>
          <t>确认无误</t>
        </is>
      </c>
      <c r="H4"/>
      <c r="I4" t="inlineStr">
        <is>
          <t>确认无误</t>
        </is>
      </c>
      <c r="J4"/>
      <c r="K4"/>
      <c r="L4"/>
      <c r="M4" t="inlineStr">
        <is>
          <t>杨黍晨,曹达荣,白炳壮,曹俊林</t>
        </is>
      </c>
    </row>
    <row r="5" ht="25.5" customHeight="1">
      <c r="A5" t="inlineStr">
        <is>
          <t>PJ-0024</t>
        </is>
      </c>
      <c r="B5"/>
      <c r="C5"/>
      <c r="D5" t="inlineStr">
        <is>
          <t>王金丰</t>
        </is>
      </c>
      <c r="E5" s="2">
        <v>46300.75519675926</v>
      </c>
      <c r="F5"/>
      <c r="G5" t="inlineStr">
        <is>
          <t>确认无误</t>
        </is>
      </c>
      <c r="H5"/>
      <c r="I5" t="inlineStr">
        <is>
          <t>确认无误</t>
        </is>
      </c>
      <c r="J5"/>
      <c r="K5"/>
      <c r="L5"/>
      <c r="M5" t="inlineStr">
        <is>
          <t>杨黍晨,曹达荣,白炳壮,曹俊林</t>
        </is>
      </c>
    </row>
    <row r="6" ht="25.5" customHeight="1">
      <c r="A6" t="inlineStr">
        <is>
          <t>PJ-0025</t>
        </is>
      </c>
      <c r="B6"/>
      <c r="C6"/>
      <c r="D6" t="inlineStr">
        <is>
          <t>尚培贤</t>
        </is>
      </c>
      <c r="E6" s="2">
        <v>46300.75543981481</v>
      </c>
      <c r="F6"/>
      <c r="G6" t="inlineStr">
        <is>
          <t>确认无误</t>
        </is>
      </c>
      <c r="H6"/>
      <c r="I6" t="inlineStr">
        <is>
          <t>确认无误</t>
        </is>
      </c>
      <c r="J6"/>
      <c r="K6"/>
      <c r="L6"/>
      <c r="M6"/>
    </row>
    <row r="7" ht="25.5" customHeight="1">
      <c r="A7" t="inlineStr">
        <is>
          <t>PJ-0026</t>
        </is>
      </c>
      <c r="B7"/>
      <c r="C7"/>
      <c r="D7" t="inlineStr">
        <is>
          <t>尚培贤</t>
        </is>
      </c>
      <c r="E7" s="2">
        <v>46300.7556712963</v>
      </c>
      <c r="F7"/>
      <c r="G7" t="inlineStr">
        <is>
          <t>需修改</t>
        </is>
      </c>
      <c r="H7" t="inlineStr">
        <is>
          <t>日志明确记录已完成C语言课程学习、当前进度推进至函数章节，能看出学习阶段和进度；心得中提出应加快进度并持续学习，体现了对学习节奏的主动反思。</t>
        </is>
      </c>
      <c r="I7" t="inlineStr">
        <is>
          <t>确认无误</t>
        </is>
      </c>
      <c r="J7"/>
      <c r="K7"/>
      <c r="L7"/>
      <c r="M7"/>
    </row>
    <row r="8" ht="25.5" customHeight="1">
      <c r="A8" t="inlineStr">
        <is>
          <t>PJ-0027</t>
        </is>
      </c>
      <c r="B8"/>
      <c r="C8"/>
      <c r="D8" t="inlineStr">
        <is>
          <t>王金丰</t>
        </is>
      </c>
      <c r="E8" s="2">
        <v>46301.543807870374</v>
      </c>
      <c r="F8"/>
      <c r="G8" t="inlineStr">
        <is>
          <t>确认无误</t>
        </is>
      </c>
      <c r="H8"/>
      <c r="I8" t="inlineStr">
        <is>
          <t>确认无误</t>
        </is>
      </c>
      <c r="J8"/>
      <c r="K8"/>
      <c r="L8"/>
      <c r="M8" t="inlineStr">
        <is>
          <t>杨黍晨,曹达荣,白炳壮,曹俊林</t>
        </is>
      </c>
    </row>
  </sheetData>
  <dataValidations count="2">
    <dataValidation allowBlank="false" sqref="G2:G7" type="list">
      <formula1>"确认无误,需修改"</formula1>
    </dataValidation>
    <dataValidation allowBlank="false" sqref="I2:I7" type="list">
      <formula1>"确认无误,需修改"</formula1>
    </dataValidation>
  </dataValidations>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文本</t>
        </is>
      </c>
      <c r="B1" s="1" t="inlineStr">
        <is>
          <t>报告人</t>
        </is>
      </c>
      <c r="C1" s="1" t="inlineStr">
        <is>
          <t>角色</t>
        </is>
      </c>
      <c r="D1" s="1" t="inlineStr">
        <is>
          <t>报告时间</t>
        </is>
      </c>
      <c r="E1" s="1" t="inlineStr">
        <is>
          <t>飞书文档链接</t>
        </is>
      </c>
    </row>
    <row r="2" ht="25.5" customHeight="1">
      <c r="A2">
        <v>12</v>
      </c>
      <c r="B2" t="inlineStr">
        <is>
          <t>刘新瀚</t>
        </is>
      </c>
      <c r="C2" t="inlineStr">
        <is>
          <t>骨干学生</t>
        </is>
      </c>
      <c r="D2" s="3">
        <v>46300.75402777778</v>
      </c>
      <c r="E2" s="4" t="str">
        <f>=HYPERLINK("https://feishu.cn/docx/Ul4Id6Jl7oJxvIxTUPAc2qvGnv3", "10-04 刘新瀚同学小组日志")</f>
        <v>10-04 刘新瀚同学小组日志</v>
      </c>
    </row>
    <row r="3" ht="25.5" customHeight="1">
      <c r="A3">
        <v>13</v>
      </c>
      <c r="B3" t="inlineStr">
        <is>
          <t>王金丰</t>
        </is>
      </c>
      <c r="C3" t="inlineStr">
        <is>
          <t>骨干学生</t>
        </is>
      </c>
      <c r="D3" s="3">
        <v>46300.75616898148</v>
      </c>
      <c r="E3" s="4" t="str">
        <f>=HYPERLINK("https://feishu.cn/docx/WNksdO7kcoQbCFxVGKfcrEI8nEa", "10-04 王金丰同学小组日志")</f>
        <v>10-04 王金丰同学小组日志</v>
      </c>
    </row>
    <row r="4" ht="25.5" customHeight="1">
      <c r="A4">
        <v>14</v>
      </c>
      <c r="B4" t="inlineStr">
        <is>
          <t>尚培贤</t>
        </is>
      </c>
      <c r="C4" t="inlineStr">
        <is>
          <t>部长</t>
        </is>
      </c>
      <c r="D4" s="3">
        <v>46300.75616898148</v>
      </c>
      <c r="E4" s="4" t="str">
        <f>=HYPERLINK("https://feishu.cn/docx/MMp5diMGNoJbrwx95q6cD3S5nhb", "10-04 001日志")</f>
        <v>10-04 001日志</v>
      </c>
    </row>
    <row r="5" ht="25.5" customHeight="1">
      <c r="A5">
        <v>15</v>
      </c>
      <c r="B5" t="inlineStr">
        <is>
          <t>黄箐</t>
        </is>
      </c>
      <c r="C5" t="inlineStr">
        <is>
          <t>团队负责人</t>
        </is>
      </c>
      <c r="D5" s="3">
        <v>46300.75616898148</v>
      </c>
      <c r="E5" s="4" t="str">
        <f>=HYPERLINK("https://feishu.cn/docx/PteadBJ3aoju7CxIvBscwAURnA6", "10-04 团队日志")</f>
        <v>10-04 团队日志</v>
      </c>
    </row>
  </sheetData>
  <dataValidations count="1">
    <dataValidation allowBlank="false" sqref="C2:C4" type="list">
      <formula1>"部长,骨干,负责人,骨干学生,团队负责人"</formula1>
    </dataValidation>
  </dataValidations>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文本</t>
        </is>
      </c>
      <c r="B1" s="1" t="inlineStr">
        <is>
          <t>报告人</t>
        </is>
      </c>
      <c r="C1" s="1" t="inlineStr">
        <is>
          <t>角色</t>
        </is>
      </c>
      <c r="D1" s="1" t="inlineStr">
        <is>
          <t>报告时间</t>
        </is>
      </c>
      <c r="E1" s="1" t="inlineStr">
        <is>
          <t>已交人数</t>
        </is>
      </c>
      <c r="F1" s="1" t="inlineStr">
        <is>
          <t>未交认数</t>
        </is>
      </c>
    </row>
    <row r="2" ht="25.5" customHeight="1">
      <c r="A2">
        <v>13</v>
      </c>
      <c r="B2" t="inlineStr">
        <is>
          <t>刘新瀚</t>
        </is>
      </c>
      <c r="C2" t="inlineStr">
        <is>
          <t>骨干学生</t>
        </is>
      </c>
      <c r="D2" s="3">
        <v>46300.75409722222</v>
      </c>
      <c r="E2">
        <v>1</v>
      </c>
      <c r="F2">
        <v>0</v>
      </c>
    </row>
    <row r="3" ht="25.5" customHeight="1">
      <c r="A3">
        <v>14</v>
      </c>
      <c r="B3" t="inlineStr">
        <is>
          <t>王金丰</t>
        </is>
      </c>
      <c r="C3" t="inlineStr">
        <is>
          <t>骨干学生</t>
        </is>
      </c>
      <c r="D3" s="3">
        <v>46300.75623842593</v>
      </c>
      <c r="E3">
        <v>5</v>
      </c>
      <c r="F3">
        <v>0</v>
      </c>
    </row>
    <row r="4" ht="25.5" customHeight="1">
      <c r="A4">
        <v>15</v>
      </c>
      <c r="B4" t="inlineStr">
        <is>
          <t>尚培贤</t>
        </is>
      </c>
      <c r="C4" t="inlineStr">
        <is>
          <t>部长</t>
        </is>
      </c>
      <c r="D4" s="3">
        <v>46300.75628472222</v>
      </c>
      <c r="E4">
        <v>6</v>
      </c>
      <c r="F4">
        <v>0</v>
      </c>
    </row>
    <row r="5" ht="25.5" customHeight="1">
      <c r="A5">
        <v>16</v>
      </c>
      <c r="B5" t="inlineStr">
        <is>
          <t>黄箐</t>
        </is>
      </c>
      <c r="C5" t="inlineStr">
        <is>
          <t>团队负责人</t>
        </is>
      </c>
      <c r="D5" s="3">
        <v>46300.75633101852</v>
      </c>
      <c r="E5">
        <v>6</v>
      </c>
      <c r="F5">
        <v>0</v>
      </c>
    </row>
  </sheetData>
  <dataValidations count="1">
    <dataValidation allowBlank="false" sqref="C2:C4" type="list">
      <formula1>"部长,骨干,负责人,骨干学生,团队负责人"</formula1>
    </dataValidation>
  </dataValidations>
</worksheet>
</file>

<file path=xl/worksheets/sheet10.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任务编号</t>
        </is>
      </c>
      <c r="B1" s="1" t="inlineStr">
        <is>
          <t>部长</t>
        </is>
      </c>
      <c r="C1" s="1" t="inlineStr">
        <is>
          <t>阶段工作进展</t>
        </is>
      </c>
      <c r="D1" s="1" t="inlineStr">
        <is>
          <t>日期</t>
        </is>
      </c>
    </row>
    <row r="2" ht="25.5" customHeight="1">
      <c r="A2" t="inlineStr">
        <is>
          <t>f504f2d5-b996-5195-87c9-72d9c1fec61e:001</t>
        </is>
      </c>
      <c r="B2" t="inlineStr">
        <is>
          <t>尚培贤</t>
        </is>
      </c>
      <c r="C2" t="inlineStr">
        <is>
          <t>-结果类别：阶段工作进展
-主题或对象：活动报名页开发与测试
-涉及人员及部门：reczz28JHRONoyan, reczz28JHZZrm2se；001
-具体内容：work_item: 活动报名页开发与测试; current_progress: 完成报名页页面结构与表单校验并联调修复移动端布局错位，完成两种常见屏幕尺寸检查及极窄屏幕按钮适配，与后端对齐重复提交接口方案；整理报名流程测试用例（必填项、手机号格式、重复提交），用测试桩跑通主要用例，发现重复提交会创建两条记录并补充极窄屏幕回归用例，前端重复点击限制已验证有效。; main_difficulties: 移动端输入框在部分屏幕尺寸错位、极窄屏幕按钮文字换行（过程中已处理）；测试环境缺少稳定的短信验证码接口，真实短信验证码无法联调；后端尚未提供提交幂等接口，幂等逻辑仍待联调。</t>
        </is>
      </c>
      <c r="D2" s="3">
        <v>46299</v>
      </c>
    </row>
  </sheetData>
</worksheet>
</file>

<file path=xl/worksheets/sheet1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任务编号</t>
        </is>
      </c>
      <c r="B1" s="1" t="inlineStr">
        <is>
          <t>日期</t>
        </is>
      </c>
      <c r="C1" s="1" t="inlineStr">
        <is>
          <t>填写人：</t>
        </is>
      </c>
      <c r="D1" s="1" t="inlineStr">
        <is>
          <t>阶段工作总结</t>
        </is>
      </c>
      <c r="E1" s="1" t="inlineStr">
        <is>
          <t>阶段工作总结是否确认</t>
        </is>
      </c>
      <c r="F1" s="1" t="inlineStr">
        <is>
          <t>阶段工作修改</t>
        </is>
      </c>
    </row>
    <row r="2" ht="25.5" customHeight="1">
      <c r="A2" t="inlineStr">
        <is>
          <t>f504f2d5-b996-5195-87c9-72d9c1fec61e:001</t>
        </is>
      </c>
      <c r="B2" s="3">
        <v>46300.81946759259</v>
      </c>
      <c r="C2" t="inlineStr">
        <is>
          <t>尚培贤</t>
        </is>
      </c>
      <c r="D2"/>
      <c r="E2" t="inlineStr">
        <is>
          <t>确认无误</t>
        </is>
      </c>
      <c r="F2"/>
    </row>
  </sheetData>
  <dataValidations count="1">
    <dataValidation allowBlank="false" sqref="E2:E1" type="list">
      <formula1>"确认无误,需修改"</formula1>
    </dataValidation>
  </dataValidations>
</worksheet>
</file>

<file path=xl/worksheets/sheet1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任务编号</t>
        </is>
      </c>
      <c r="B1" s="1" t="inlineStr">
        <is>
          <t>日期</t>
        </is>
      </c>
      <c r="C1" s="1" t="inlineStr">
        <is>
          <t>部长</t>
        </is>
      </c>
      <c r="D1" s="1" t="inlineStr">
        <is>
          <t>阶段工作总结</t>
        </is>
      </c>
    </row>
    <row r="2" ht="25.5" customHeight="1">
      <c r="A2" t="inlineStr">
        <is>
          <t>f504f2d5-b996-5195-87c9-72d9c1fec61e:001</t>
        </is>
      </c>
      <c r="B2" s="3">
        <v>46299</v>
      </c>
      <c r="C2" t="inlineStr">
        <is>
          <t>尚培贤</t>
        </is>
      </c>
      <c r="D2" t="inlineStr">
        <is>
          <t>-结果类别：阶段工作进展
-主题或对象：活动报名页开发与测试
-涉及人员及部门：reczz28JHRONoyan, reczz28JHZZrm2se；001
-具体内容：work_item: 活动报名页开发与测试; current_progress: 完成报名页页面结构与表单校验并联调修复移动端布局错位，完成两种常见屏幕尺寸检查及极窄屏幕按钮适配，与后端对齐重复提交接口方案；整理报名流程测试用例（必填项、手机号格式、重复提交），用测试桩跑通主要用例，发现重复提交会创建两条记录并补充极窄屏幕回归用例，前端重复点击限制已验证有效。; main_difficulties: 移动端输入框在部分屏幕尺寸错位、极窄屏幕按钮文字换行（过程中已处理）；测试环境缺少稳定的短信验证码接口，真实短信验证码无法联调；后端尚未提供提交幂等接口，幂等逻辑仍待联调。</t>
        </is>
      </c>
    </row>
    <row r="3" ht="25.5" customHeight="1">
      <c r="A3" t="inlineStr">
        <is>
          <t>f504f2d5-b996-5195-87c9-72d9c1fec61e:TEAM</t>
        </is>
      </c>
      <c r="B3" s="3">
        <v>46299</v>
      </c>
      <c r="C3" t="inlineStr">
        <is>
          <t>黄箐</t>
        </is>
      </c>
      <c r="D3" t="inlineStr">
        <is>
          <t>https://feishu.cn/docx/NhGOdVzUCoeQ58xyfaycfd9hnjb</t>
        </is>
      </c>
    </row>
  </sheetData>
</worksheet>
</file>

<file path=xl/worksheets/sheet1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任务编号</t>
        </is>
      </c>
      <c r="B1" s="1" t="inlineStr">
        <is>
          <t>部长名称：</t>
        </is>
      </c>
      <c r="C1" s="1" t="inlineStr">
        <is>
          <t>日期</t>
        </is>
      </c>
      <c r="D1" s="1" t="inlineStr">
        <is>
          <t>降级—奖励—退出—提拔名单</t>
        </is>
      </c>
      <c r="E1" s="1" t="inlineStr">
        <is>
          <t>idea 清单</t>
        </is>
      </c>
      <c r="F1" s="1" t="inlineStr">
        <is>
          <t>学生例会重点人员</t>
        </is>
      </c>
    </row>
  </sheetData>
</worksheet>
</file>

<file path=xl/worksheets/sheet1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s>
  <sheetData>
    <row r="1" ht="13" customHeight="1">
      <c r="A1" s="1" t="inlineStr">
        <is>
          <t>任务编号</t>
        </is>
      </c>
      <c r="B1" s="1" t="inlineStr">
        <is>
          <t>部长名称：</t>
        </is>
      </c>
      <c r="C1" s="1" t="inlineStr">
        <is>
          <t>日期</t>
        </is>
      </c>
      <c r="D1" s="1" t="inlineStr">
        <is>
          <t>降级—奖励—退出—提拔名单</t>
        </is>
      </c>
      <c r="E1" s="1" t="inlineStr">
        <is>
          <t>降级—奖励—退出—提拔名单是否确认</t>
        </is>
      </c>
      <c r="F1" s="1" t="inlineStr">
        <is>
          <t>降级—奖励—退出—提拔名单修改</t>
        </is>
      </c>
      <c r="G1" s="1" t="inlineStr">
        <is>
          <t>idea清单</t>
        </is>
      </c>
      <c r="H1" s="1" t="inlineStr">
        <is>
          <t>idea清单是否确认</t>
        </is>
      </c>
      <c r="I1" s="1" t="inlineStr">
        <is>
          <t>idea清单修改：</t>
        </is>
      </c>
      <c r="J1" s="1" t="inlineStr">
        <is>
          <t>学生例会重点人员</t>
        </is>
      </c>
      <c r="K1" s="1" t="inlineStr">
        <is>
          <t>学生例会重点人员是否确认</t>
        </is>
      </c>
      <c r="L1" s="1" t="inlineStr">
        <is>
          <t>学生例会重点人员修改：</t>
        </is>
      </c>
    </row>
  </sheetData>
</worksheet>
</file>

<file path=xl/worksheets/sheet1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s>
  <sheetData>
    <row r="1" ht="13" customHeight="1">
      <c r="A1" s="1" t="inlineStr">
        <is>
          <t>任务编号</t>
        </is>
      </c>
      <c r="B1" s="1" t="inlineStr">
        <is>
          <t>日期</t>
        </is>
      </c>
      <c r="C1" s="1" t="inlineStr">
        <is>
          <t>部长</t>
        </is>
      </c>
      <c r="D1" s="1" t="inlineStr">
        <is>
          <t>降级—奖励—退出—提拔名单</t>
        </is>
      </c>
      <c r="E1" s="1" t="inlineStr">
        <is>
          <t>idea 清单</t>
        </is>
      </c>
      <c r="F1" s="1" t="inlineStr">
        <is>
          <t>学生例会重点人员</t>
        </is>
      </c>
    </row>
  </sheetData>
</worksheet>
</file>

<file path=xl/worksheets/sheet1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任务编号</t>
        </is>
      </c>
      <c r="B1" s="1" t="inlineStr">
        <is>
          <t>日期</t>
        </is>
      </c>
      <c r="C1" s="1" t="inlineStr">
        <is>
          <t>公共技术</t>
        </is>
      </c>
      <c r="D1" s="1" t="inlineStr">
        <is>
          <t>公共培训建议</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